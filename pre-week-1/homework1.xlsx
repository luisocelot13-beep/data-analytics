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yearuptemp-my.sharepoint.com/personal/locelotllopez_my_yearupunited_org/Documents/data analytics/pre-week-1/"/>
    </mc:Choice>
  </mc:AlternateContent>
  <xr:revisionPtr revIDLastSave="0" documentId="8_{F3B99A3B-257B-4414-809A-A2B2CD12B14A}" xr6:coauthVersionLast="47" xr6:coauthVersionMax="47" xr10:uidLastSave="{00000000-0000-0000-0000-000000000000}"/>
  <bookViews>
    <workbookView xWindow="19090" yWindow="-110" windowWidth="19420" windowHeight="11020" activeTab="1" xr2:uid="{16EAF87A-5F51-4B0D-A15C-6AB4D30EE045}"/>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 l="1"/>
  <c r="E7" i="1"/>
  <c r="E5" i="1"/>
  <c r="E4" i="1"/>
  <c r="E3" i="1"/>
  <c r="E2" i="1"/>
</calcChain>
</file>

<file path=xl/sharedStrings.xml><?xml version="1.0" encoding="utf-8"?>
<sst xmlns="http://schemas.openxmlformats.org/spreadsheetml/2006/main" count="22" uniqueCount="22">
  <si>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</si>
  <si>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</si>
  <si>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</si>
  <si>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</si>
  <si>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</si>
  <si>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</si>
  <si>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</si>
  <si>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</si>
  <si>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</si>
  <si>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</si>
  <si>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</si>
  <si>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</si>
  <si>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</si>
  <si>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</si>
  <si>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</si>
  <si>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</si>
  <si>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</si>
  <si>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</si>
  <si>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standarad deviation without h</t>
  </si>
  <si>
    <t>standarad deviation with H</t>
  </si>
  <si>
    <t>Store Summary</t>
  </si>
  <si>
    <t>The overall average monthly sales across the stores is 49.4, which shows that most stores are near the 50 sales range. The median vaule of 47.5 shows that half of the store perform slightly below the mean, suggesting a small upward pull in the data. The performance of most store is very tightly grouped.When H is included , the standard deviation is included it increases 7.63.So store H has a very strong influence on the overall results and may be considered an outlier.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</si>
</sst>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6" fontId="0" fillId="0" borderId="0" xfId="0" applyNumberFormat="1"/>
    <xf numFmtId="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6C3AA-4270-4AC2-97B0-2050BE637803}">
  <dimension ref="A1:E13"/>
  <sheetViews>
    <sheetView workbookViewId="0">
      <selection sqref="A1:E13"/>
    </sheetView>
  </sheetViews>
  <sheetFormatPr defaultRowHeight="14.4" x14ac:dyDescent="0.3"/>
  <cols>
    <col min="2" max="2" width="12.109375" customWidth="1"/>
    <col min="4" max="4" width="25.21875" customWidth="1"/>
    <col min="5" max="5" width="12.6640625" customWidth="1"/>
  </cols>
  <sheetData>
    <row r="1" spans="1:5" x14ac:dyDescent="0.3">
      <c r="A1" t="s">
        <v>0</v>
      </c>
      <c r="B1" t="s">
        <v>1</v>
      </c>
    </row>
    <row r="2" spans="1:5" x14ac:dyDescent="0.3">
      <c r="A2" t="s">
        <v>2</v>
      </c>
      <c r="B2">
        <v>51</v>
      </c>
      <c r="D2" t="s">
        <v>14</v>
      </c>
      <c r="E2" s="1">
        <f>AVERAGE(B2:B13)</f>
        <v>49.416666666666664</v>
      </c>
    </row>
    <row r="3" spans="1:5" x14ac:dyDescent="0.3">
      <c r="A3" t="s">
        <v>3</v>
      </c>
      <c r="B3">
        <v>44</v>
      </c>
      <c r="D3" t="s">
        <v>15</v>
      </c>
      <c r="E3">
        <f>MEDIAN(B2:B13)</f>
        <v>47.5</v>
      </c>
    </row>
    <row r="4" spans="1:5" x14ac:dyDescent="0.3">
      <c r="A4" t="s">
        <v>4</v>
      </c>
      <c r="B4">
        <v>49</v>
      </c>
      <c r="D4" t="s">
        <v>16</v>
      </c>
      <c r="E4">
        <f>_xlfn.MODE.SNGL(B2:B13)</f>
        <v>46</v>
      </c>
    </row>
    <row r="5" spans="1:5" x14ac:dyDescent="0.3">
      <c r="A5" t="s">
        <v>5</v>
      </c>
      <c r="B5">
        <v>46</v>
      </c>
      <c r="D5" t="s">
        <v>17</v>
      </c>
      <c r="E5">
        <f>MAX(B2:B13)- MIN(B2:B13)</f>
        <v>29</v>
      </c>
    </row>
    <row r="6" spans="1:5" x14ac:dyDescent="0.3">
      <c r="A6" t="s">
        <v>6</v>
      </c>
      <c r="B6">
        <v>52</v>
      </c>
    </row>
    <row r="7" spans="1:5" x14ac:dyDescent="0.3">
      <c r="A7" t="s">
        <v>7</v>
      </c>
      <c r="B7">
        <v>47</v>
      </c>
      <c r="D7" t="s">
        <v>18</v>
      </c>
      <c r="E7" s="1">
        <f>_xlfn.STDEV.S(B10:B13,B2:B8)</f>
        <v>2.9076701075853588</v>
      </c>
    </row>
    <row r="8" spans="1:5" x14ac:dyDescent="0.3">
      <c r="A8" t="s">
        <v>8</v>
      </c>
      <c r="B8">
        <v>45</v>
      </c>
      <c r="D8" t="s">
        <v>19</v>
      </c>
      <c r="E8" s="2">
        <f>_xlfn.STDEV.S(B2:B13)</f>
        <v>7.6331613054586773</v>
      </c>
    </row>
    <row r="9" spans="1:5" x14ac:dyDescent="0.3">
      <c r="A9" t="s">
        <v>9</v>
      </c>
      <c r="B9">
        <v>72</v>
      </c>
    </row>
    <row r="10" spans="1:5" x14ac:dyDescent="0.3">
      <c r="A10" t="s">
        <v>10</v>
      </c>
      <c r="B10">
        <v>43</v>
      </c>
    </row>
    <row r="11" spans="1:5" x14ac:dyDescent="0.3">
      <c r="A11" t="s">
        <v>11</v>
      </c>
      <c r="B11">
        <v>48</v>
      </c>
    </row>
    <row r="12" spans="1:5" x14ac:dyDescent="0.3">
      <c r="A12" t="s">
        <v>12</v>
      </c>
      <c r="B12">
        <v>46</v>
      </c>
    </row>
    <row r="13" spans="1:5" x14ac:dyDescent="0.3">
      <c r="A13" t="s">
        <v>13</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6C013-B282-4F03-BCDF-A1F38265B3F8}">
  <dimension ref="A1:A2"/>
  <sheetViews>
    <sheetView tabSelected="1" topLeftCell="A2" zoomScaleNormal="100" workbookViewId="0">
      <selection activeCell="A2" sqref="A2"/>
    </sheetView>
  </sheetViews>
  <sheetFormatPr defaultRowHeight="14.4" x14ac:dyDescent="0.3"/>
  <cols>
    <col min="1" max="1" width="43.44140625" customWidth="1"/>
    <col min="10" max="10" width="10.109375" customWidth="1"/>
  </cols>
  <sheetData>
    <row r="1" spans="1:1" ht="143.4" customHeight="1" x14ac:dyDescent="0.3">
      <c r="A1" t="s">
        <v>20</v>
      </c>
    </row>
    <row r="2" spans="1:1" s="3" customFormat="1" ht="409.6" x14ac:dyDescent="0.3">
      <c r="A2" s="3" t="s">
        <v>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ocelotllopez</dc:creator>
  <cp:lastModifiedBy>luis ocelotllopez</cp:lastModifiedBy>
  <dcterms:created xsi:type="dcterms:W3CDTF">2026-03-25T22:24:49Z</dcterms:created>
  <dcterms:modified xsi:type="dcterms:W3CDTF">2026-03-25T22:50:23Z</dcterms:modified>
</cp:coreProperties>
</file>