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week-01/"/>
    </mc:Choice>
  </mc:AlternateContent>
  <xr:revisionPtr revIDLastSave="0" documentId="14_{94060AC6-6E40-4075-AF71-7DDBEEEDE744}" xr6:coauthVersionLast="47" xr6:coauthVersionMax="47" xr10:uidLastSave="{00000000-0000-0000-0000-000000000000}"/>
  <bookViews>
    <workbookView xWindow="19090" yWindow="-110" windowWidth="19420" windowHeight="11020" activeTab="2" xr2:uid="{345C9E78-C4AD-470B-A3E1-759059C6F3A7}"/>
  </bookViews>
  <sheets>
    <sheet name="by search term" sheetId="1" r:id="rId1"/>
    <sheet name="by state" sheetId="3" r:id="rId2"/>
    <sheet name="sales region lookup" sheetId="4" r:id="rId3"/>
  </sheets>
  <definedNames>
    <definedName name="_xlnm._FilterDatabase" localSheetId="0" hidden="1">'by search term'!$A$1:$E$1</definedName>
  </definedNames>
  <calcPr calcId="0"/>
  <pivotCaches>
    <pivotCache cacheId="14" r:id="rId4"/>
  </pivotCaches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<sst xmlns="http://schemas.openxmlformats.org/spreadsheetml/2006/main" count="154" uniqueCount="68">
  <si>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</si>
  <si>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</si>
  <si>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</si>
  <si>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</si>
  <si>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</si>
  <si>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</si>
  <si>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</si>
  <si>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</si>
  <si>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</si>
  <si>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</si>
  <si>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</si>
  <si>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</si>
  <si>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</si>
  <si>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</si>
  <si>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</si>
  <si>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</si>
  <si>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</si>
  <si>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</si>
  <si>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</si>
  <si>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</si>
  <si>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</si>
  <si>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</si>
  <si>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</si>
  <si>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</si>
  <si>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</si>
  <si>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</si>
  <si>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</si>
  <si>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</si>
  <si>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</si>
  <si>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</si>
  <si>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</si>
  <si>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</si>
  <si>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</si>
  <si>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</si>
  <si>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</si>
  <si>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</si>
  <si>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</si>
  <si>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</si>
  <si>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</si>
  <si>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</si>
  <si>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</si>
  <si>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</si>
  <si>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</si>
  <si>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</si>
  <si>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</si>
  <si>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</si>
  <si>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</si>
  <si>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</si>
  <si>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</si>
  <si>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</si>
  <si>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</si>
  <si>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</si>
  <si>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</si>
  <si>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</si>
  <si>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</si>
  <si>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Hamburger</t>
  </si>
  <si>
    <t>Milkshake</t>
  </si>
  <si>
    <t>Breakup</t>
  </si>
  <si>
    <t>2/1/24 - 2/28/25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</si>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</sst>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839548358342005E-2"/>
          <c:y val="0.26623059721605102"/>
          <c:w val="0.63276630515525178"/>
          <c:h val="0.4244109056210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6-47EA-96BC-DFEDDE01684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6-47EA-96BC-DFEDDE01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148943"/>
        <c:axId val="1356440607"/>
      </c:barChart>
      <c:catAx>
        <c:axId val="109814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40607"/>
        <c:crosses val="autoZero"/>
        <c:auto val="1"/>
        <c:lblAlgn val="ctr"/>
        <c:lblOffset val="100"/>
        <c:noMultiLvlLbl val="0"/>
      </c:catAx>
      <c:valAx>
        <c:axId val="13564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4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</xdr:colOff>
      <xdr:row>12</xdr:row>
      <xdr:rowOff>33655</xdr:rowOff>
    </xdr:from>
    <xdr:to>
      <xdr:col>7</xdr:col>
      <xdr:colOff>55245</xdr:colOff>
      <xdr:row>27</xdr:row>
      <xdr:rowOff>18415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872F8-5653-66E9-0E69-04B942C25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Ocelot" refreshedDate="46119.977776851854" createdVersion="8" refreshedVersion="8" minRefreshableVersion="3" recordCount="10" xr:uid="{0679C481-709B-4B30-8878-A2D340B25DAB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82AE5-B847-47A0-A68B-B45D2F755ED0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D3DD-13EE-400A-B07D-377A5D5F519A}">
  <dimension ref="A1:K52"/>
  <sheetViews>
    <sheetView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10.44140625" bestFit="1" customWidth="1"/>
    <col min="2" max="2" width="17.33203125" bestFit="1" customWidth="1"/>
    <col min="3" max="3" width="12.33203125" bestFit="1" customWidth="1"/>
    <col min="4" max="4" width="11.33203125" bestFit="1" customWidth="1"/>
    <col min="5" max="5" width="9.88671875" bestFit="1" customWidth="1"/>
    <col min="7" max="7" width="10" bestFit="1" customWidth="1"/>
    <col min="10" max="10" width="9.5546875" bestFit="1" customWidth="1"/>
    <col min="11" max="11" width="15.44140625" bestFit="1" customWidth="1"/>
  </cols>
  <sheetData>
    <row r="1" spans="1:11" x14ac:dyDescent="0.3">
      <c r="A1" t="s">
        <v>53</v>
      </c>
      <c r="B1" t="s">
        <v>0</v>
      </c>
      <c r="C1" t="s">
        <v>55</v>
      </c>
      <c r="D1" t="s">
        <v>56</v>
      </c>
      <c r="E1" t="s">
        <v>57</v>
      </c>
      <c r="G1" s="2" t="s">
        <v>52</v>
      </c>
      <c r="H1" s="2">
        <f>COUNTA(B2:B52)</f>
        <v>51</v>
      </c>
      <c r="J1" s="3" t="s">
        <v>54</v>
      </c>
      <c r="K1" s="3" t="s">
        <v>58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272DD3DD-13EE-400A-B07D-377A5D5F51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8764-0EE6-4451-8946-740EC3C7B402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">
      <c r="A2" t="s">
        <v>55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56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">
      <c r="A4" t="s">
        <v>57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A9F3-691C-44E7-A69E-BC2E3118F90F}">
  <dimension ref="A1:D26"/>
  <sheetViews>
    <sheetView tabSelected="1" topLeftCell="A10" workbookViewId="0">
      <selection activeCell="I17" sqref="I17"/>
    </sheetView>
  </sheetViews>
  <sheetFormatPr defaultRowHeight="14.4" x14ac:dyDescent="0.3"/>
  <cols>
    <col min="1" max="1" width="12.6640625" bestFit="1" customWidth="1"/>
    <col min="2" max="2" width="16.6640625" bestFit="1" customWidth="1"/>
    <col min="3" max="3" width="16" bestFit="1" customWidth="1"/>
    <col min="4" max="20" width="16.6640625" bestFit="1" customWidth="1"/>
    <col min="21" max="21" width="21.33203125" bestFit="1" customWidth="1"/>
    <col min="22" max="22" width="20.5546875" bestFit="1" customWidth="1"/>
  </cols>
  <sheetData>
    <row r="1" spans="1:4" x14ac:dyDescent="0.3">
      <c r="A1" t="s">
        <v>59</v>
      </c>
      <c r="B1" t="s">
        <v>60</v>
      </c>
      <c r="C1" t="s">
        <v>55</v>
      </c>
      <c r="D1" t="s">
        <v>56</v>
      </c>
    </row>
    <row r="2" spans="1:4" x14ac:dyDescent="0.3">
      <c r="A2" s="4" t="s">
        <v>38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0.19</v>
      </c>
    </row>
    <row r="3" spans="1:4" x14ac:dyDescent="0.3">
      <c r="A3" t="s">
        <v>37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3">
      <c r="A4" t="s">
        <v>31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0.19</v>
      </c>
    </row>
    <row r="5" spans="1:4" x14ac:dyDescent="0.3">
      <c r="A5" t="s">
        <v>48</v>
      </c>
      <c r="B5" t="s">
        <v>61</v>
      </c>
      <c r="C5" s="5">
        <f>VLOOKUP('sales region lookup'!A5, 'by search term'!B:C, 2, FALSE)</f>
        <v>0.73</v>
      </c>
      <c r="D5" s="5">
        <f>_xlfn.XLOOKUP(A5, 'by search term'!B4:B55, 'by search term'!D4:D55, "not found")</f>
        <v>0.15</v>
      </c>
    </row>
    <row r="6" spans="1:4" x14ac:dyDescent="0.3">
      <c r="A6" t="s">
        <v>34</v>
      </c>
      <c r="B6" t="s">
        <v>62</v>
      </c>
      <c r="C6" s="5">
        <f>VLOOKUP('sales region lookup'!A6, 'by search term'!B:C, 2, FALSE)</f>
        <v>0.7</v>
      </c>
      <c r="D6" s="5">
        <f>_xlfn.XLOOKUP(A6, 'by search term'!B5:B56, 'by search term'!D5:D56, "not found")</f>
        <v>0.18</v>
      </c>
    </row>
    <row r="7" spans="1:4" x14ac:dyDescent="0.3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5">
        <f>VLOOKUP('sales region lookup'!A8, 'by search term'!B:C, 2, FALSE)</f>
        <v>0.7</v>
      </c>
      <c r="D8" s="5">
        <f>_xlfn.XLOOKUP(A8, 'by search term'!B7:B58, 'by search term'!D7:D58, "not found")</f>
        <v>0.18</v>
      </c>
    </row>
    <row r="9" spans="1:4" x14ac:dyDescent="0.3">
      <c r="A9" t="s">
        <v>42</v>
      </c>
      <c r="B9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0.17</v>
      </c>
    </row>
    <row r="10" spans="1:4" x14ac:dyDescent="0.3">
      <c r="A10" t="s">
        <v>22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0.21</v>
      </c>
    </row>
    <row r="11" spans="1:4" x14ac:dyDescent="0.3">
      <c r="A11" t="s">
        <v>21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0.2</v>
      </c>
    </row>
    <row r="13" spans="1:4" x14ac:dyDescent="0.3">
      <c r="A13" s="6" t="s">
        <v>60</v>
      </c>
      <c r="B13" t="s">
        <v>67</v>
      </c>
    </row>
    <row r="15" spans="1:4" x14ac:dyDescent="0.3">
      <c r="A15" s="6" t="s">
        <v>63</v>
      </c>
      <c r="B15" t="s">
        <v>65</v>
      </c>
      <c r="C15" t="s">
        <v>66</v>
      </c>
    </row>
    <row r="16" spans="1:4" x14ac:dyDescent="0.3">
      <c r="A16" s="7" t="s">
        <v>31</v>
      </c>
      <c r="B16" s="1">
        <v>0.67</v>
      </c>
      <c r="C16" s="1">
        <v>0.19</v>
      </c>
    </row>
    <row r="17" spans="1:3" x14ac:dyDescent="0.3">
      <c r="A17" s="7" t="s">
        <v>21</v>
      </c>
      <c r="B17" s="1">
        <v>0.66</v>
      </c>
      <c r="C17" s="1">
        <v>0.2</v>
      </c>
    </row>
    <row r="18" spans="1:3" x14ac:dyDescent="0.3">
      <c r="A18" s="7" t="s">
        <v>42</v>
      </c>
      <c r="B18" s="1">
        <v>0.68</v>
      </c>
      <c r="C18" s="1">
        <v>0.17</v>
      </c>
    </row>
    <row r="19" spans="1:3" x14ac:dyDescent="0.3">
      <c r="A19" s="7" t="s">
        <v>48</v>
      </c>
      <c r="B19" s="1">
        <v>0.73</v>
      </c>
      <c r="C19" s="1">
        <v>0.15</v>
      </c>
    </row>
    <row r="20" spans="1:3" x14ac:dyDescent="0.3">
      <c r="A20" s="7" t="s">
        <v>35</v>
      </c>
      <c r="B20" s="1">
        <v>0.7</v>
      </c>
      <c r="C20" s="1">
        <v>0.18</v>
      </c>
    </row>
    <row r="21" spans="1:3" x14ac:dyDescent="0.3">
      <c r="A21" s="7" t="s">
        <v>34</v>
      </c>
      <c r="B21" s="1">
        <v>0.7</v>
      </c>
      <c r="C21" s="1">
        <v>0.18</v>
      </c>
    </row>
    <row r="22" spans="1:3" x14ac:dyDescent="0.3">
      <c r="A22" s="7" t="s">
        <v>37</v>
      </c>
      <c r="B22" s="1">
        <v>0.68</v>
      </c>
      <c r="C22" s="1">
        <v>0.18</v>
      </c>
    </row>
    <row r="23" spans="1:3" x14ac:dyDescent="0.3">
      <c r="A23" s="7" t="s">
        <v>44</v>
      </c>
      <c r="B23" s="1">
        <v>0.76</v>
      </c>
      <c r="C23" s="1">
        <v>0.14000000000000001</v>
      </c>
    </row>
    <row r="24" spans="1:3" x14ac:dyDescent="0.3">
      <c r="A24" s="7" t="s">
        <v>38</v>
      </c>
      <c r="B24" s="1">
        <v>0.67</v>
      </c>
      <c r="C24" s="1">
        <v>0.19</v>
      </c>
    </row>
    <row r="25" spans="1:3" x14ac:dyDescent="0.3">
      <c r="A25" s="7" t="s">
        <v>22</v>
      </c>
      <c r="B25" s="1">
        <v>0.66</v>
      </c>
      <c r="C25" s="1">
        <v>0.21</v>
      </c>
    </row>
    <row r="26" spans="1:3" x14ac:dyDescent="0.3">
      <c r="A26" s="7" t="s">
        <v>64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</dc:creator>
  <cp:lastModifiedBy>luis ocelotllopez</cp:lastModifiedBy>
  <dcterms:created xsi:type="dcterms:W3CDTF">2026-04-07T19:39:23Z</dcterms:created>
  <dcterms:modified xsi:type="dcterms:W3CDTF">2026-04-08T03:31:50Z</dcterms:modified>
</cp:coreProperties>
</file>