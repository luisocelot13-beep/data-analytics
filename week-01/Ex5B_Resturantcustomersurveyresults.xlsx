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week-01/"/>
    </mc:Choice>
  </mc:AlternateContent>
  <xr:revisionPtr revIDLastSave="0" documentId="14_{AA70DF7C-8EBA-49B5-B14A-A4CF8BF798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 recommend" sheetId="2" r:id="rId1"/>
    <sheet name="Sheet1" sheetId="1" r:id="rId2"/>
  </sheets>
  <calcPr calcId="191028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 a="1"/>
  <c r="K13" i="1"/>
  <c r="H12" i="1"/>
  <c r="I12" i="1"/>
  <c r="O12" i="1"/>
  <c r="D2" i="1"/>
  <c r="D12" i="1" s="1"/>
  <c r="D3" i="1"/>
  <c r="D4" i="1"/>
  <c r="D5" i="1"/>
  <c r="D6" i="1"/>
  <c r="D7" i="1"/>
  <c r="D8" i="1"/>
  <c r="D9" i="1"/>
  <c r="D10" i="1"/>
  <c r="D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<sst xmlns="http://schemas.openxmlformats.org/spreadsheetml/2006/main" count="97" uniqueCount="51">
  <si>
    <t>Id</t>
  </si>
  <si>
    <t>Start time</t>
  </si>
  <si>
    <t>Completion time</t>
  </si>
  <si>
    <t>Email</t>
  </si>
  <si>
    <t>Name</t>
  </si>
  <si>
    <t>First name.</t>
  </si>
  <si>
    <t>Quality of food? 1-bad 5- great</t>
  </si>
  <si>
    <t>Staff Quality? 1-bad, 5-Great</t>
  </si>
  <si>
    <t>Do you come in weekly, monthly or every other month?</t>
  </si>
  <si>
    <t>How do you Pay?</t>
  </si>
  <si>
    <t>Preference in gaining rewards?</t>
  </si>
  <si>
    <t>Do you prefer rewards on your phone or gift card?</t>
  </si>
  <si>
    <t>Would implementing rewards to your every day visit to Mario pizza, would you recommend us to a family or friends?</t>
  </si>
  <si>
    <t>locelotllopez@my.yearupunited.org</t>
  </si>
  <si>
    <t>luis ocelotllopez</t>
  </si>
  <si>
    <t>NOT SURE</t>
  </si>
  <si>
    <t>Weekly</t>
  </si>
  <si>
    <t>Apple Pay;Credit Card;</t>
  </si>
  <si>
    <t>Per item bought</t>
  </si>
  <si>
    <t>anonymous</t>
  </si>
  <si>
    <t>John pizza</t>
  </si>
  <si>
    <t>NEVER</t>
  </si>
  <si>
    <t>Every other month</t>
  </si>
  <si>
    <t>Apple Pay;</t>
  </si>
  <si>
    <t>Phone;Gift card;</t>
  </si>
  <si>
    <t>girt</t>
  </si>
  <si>
    <t>Cash;Apple Pay;</t>
  </si>
  <si>
    <t>Alexus</t>
  </si>
  <si>
    <t>Cash;</t>
  </si>
  <si>
    <t>Per visit</t>
  </si>
  <si>
    <t>Gift card;Phone;</t>
  </si>
  <si>
    <t>Charles</t>
  </si>
  <si>
    <t>VERY LIKELY</t>
  </si>
  <si>
    <t>Monthly</t>
  </si>
  <si>
    <t>luis</t>
  </si>
  <si>
    <t>Apple Pay;Cash;</t>
  </si>
  <si>
    <t>Bess</t>
  </si>
  <si>
    <t>Credit Card</t>
  </si>
  <si>
    <t xml:space="preserve">Smaya </t>
  </si>
  <si>
    <t>Apple Pay;Cash</t>
  </si>
  <si>
    <t>Phone;Gift card</t>
  </si>
  <si>
    <t>Tihitina</t>
  </si>
  <si>
    <t>Apple Pay</t>
  </si>
  <si>
    <t xml:space="preserve">Sonia </t>
  </si>
  <si>
    <t>Time to Complete</t>
  </si>
  <si>
    <t>Would you recommend us to a family or friend?</t>
  </si>
  <si>
    <t>Row Labels</t>
  </si>
  <si>
    <t>Grand Total</t>
  </si>
  <si>
    <t>Count of Would you recommend us to a family or friend?</t>
  </si>
  <si>
    <t>Column Labels</t>
  </si>
  <si>
    <t>Sum of Staff Quality? 1-bad, 5-Great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</si>
</sst>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49" fontId="0" fillId="0" borderId="0" xfId="0" applyNumberFormat="1"/>
    <xf numFmtId="164" fontId="0" fillId="0" borderId="0" xfId="0" applyNumberFormat="1"/>
    <xf numFmtId="45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6">
    <dxf>
      <numFmt numFmtId="30" formatCode="@"/>
    </dxf>
    <dxf>
      <numFmt numFmtId="0" formatCode="General"/>
    </dxf>
    <dxf>
      <numFmt numFmtId="30" formatCode="@"/>
    </dxf>
    <dxf>
      <numFmt numFmtId="0" formatCode="General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[Ex5B_Resturantcustomersurveyresults.xlsx]count recommend!PivotTable1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would you recommend us to a family or friend?</a:t>
            </a:r>
            <a:endParaRPr lang="en-US"/>
          </a:p>
        </c:rich>
      </c:tx>
      <c:layout>
        <c:manualLayout>
          <c:xMode val="edge"/>
          <c:yMode val="edge"/>
          <c:x val="0.1474525153613339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 recommend'!$B$3:$B$4</c:f>
              <c:strCache>
                <c:ptCount val="1"/>
                <c:pt idx="0">
                  <c:v>Apple Pay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'count recommend'!$A$5:$A$8</c:f>
              <c:strCache>
                <c:ptCount val="3"/>
                <c:pt idx="0">
                  <c:v>NEVER</c:v>
                </c:pt>
                <c:pt idx="1">
                  <c:v>NOT SURE</c:v>
                </c:pt>
                <c:pt idx="2">
                  <c:v>VERY LIKELY</c:v>
                </c:pt>
              </c:strCache>
            </c:strRef>
          </c:cat>
          <c:val>
            <c:numRef>
              <c:f>'count recommend'!$B$5:$B$8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D-4258-85C0-DCAEDD9C68E8}"/>
            </c:ext>
          </c:extLst>
        </c:ser>
        <c:ser>
          <c:idx val="1"/>
          <c:order val="1"/>
          <c:tx>
            <c:strRef>
              <c:f>'count recommend'!$C$3:$C$4</c:f>
              <c:strCache>
                <c:ptCount val="1"/>
                <c:pt idx="0">
                  <c:v>Apple Pay;Cash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'count recommend'!$A$5:$A$8</c:f>
              <c:strCache>
                <c:ptCount val="3"/>
                <c:pt idx="0">
                  <c:v>NEVER</c:v>
                </c:pt>
                <c:pt idx="1">
                  <c:v>NOT SURE</c:v>
                </c:pt>
                <c:pt idx="2">
                  <c:v>VERY LIKELY</c:v>
                </c:pt>
              </c:strCache>
            </c:strRef>
          </c:cat>
          <c:val>
            <c:numRef>
              <c:f>'count recommend'!$C$5:$C$8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D-4258-85C0-DCAEDD9C68E8}"/>
            </c:ext>
          </c:extLst>
        </c:ser>
        <c:ser>
          <c:idx val="2"/>
          <c:order val="2"/>
          <c:tx>
            <c:strRef>
              <c:f>'count recommend'!$D$3:$D$4</c:f>
              <c:strCache>
                <c:ptCount val="1"/>
                <c:pt idx="0">
                  <c:v>Apple Pay;Cash;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'count recommend'!$A$5:$A$8</c:f>
              <c:strCache>
                <c:ptCount val="3"/>
                <c:pt idx="0">
                  <c:v>NEVER</c:v>
                </c:pt>
                <c:pt idx="1">
                  <c:v>NOT SURE</c:v>
                </c:pt>
                <c:pt idx="2">
                  <c:v>VERY LIKELY</c:v>
                </c:pt>
              </c:strCache>
            </c:strRef>
          </c:cat>
          <c:val>
            <c:numRef>
              <c:f>'count recommend'!$D$5:$D$8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D-4258-85C0-DCAEDD9C68E8}"/>
            </c:ext>
          </c:extLst>
        </c:ser>
        <c:ser>
          <c:idx val="3"/>
          <c:order val="3"/>
          <c:tx>
            <c:strRef>
              <c:f>'count recommend'!$E$3:$E$4</c:f>
              <c:strCache>
                <c:ptCount val="1"/>
                <c:pt idx="0">
                  <c:v>Apple Pay;Credit Card;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'count recommend'!$A$5:$A$8</c:f>
              <c:strCache>
                <c:ptCount val="3"/>
                <c:pt idx="0">
                  <c:v>NEVER</c:v>
                </c:pt>
                <c:pt idx="1">
                  <c:v>NOT SURE</c:v>
                </c:pt>
                <c:pt idx="2">
                  <c:v>VERY LIKELY</c:v>
                </c:pt>
              </c:strCache>
            </c:strRef>
          </c:cat>
          <c:val>
            <c:numRef>
              <c:f>'count recommend'!$E$5:$E$8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27D-4258-85C0-DCAEDD9C68E8}"/>
            </c:ext>
          </c:extLst>
        </c:ser>
        <c:ser>
          <c:idx val="4"/>
          <c:order val="4"/>
          <c:tx>
            <c:strRef>
              <c:f>'count recommend'!$F$3:$F$4</c:f>
              <c:strCache>
                <c:ptCount val="1"/>
                <c:pt idx="0">
                  <c:v>Cash;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'count recommend'!$A$5:$A$8</c:f>
              <c:strCache>
                <c:ptCount val="3"/>
                <c:pt idx="0">
                  <c:v>NEVER</c:v>
                </c:pt>
                <c:pt idx="1">
                  <c:v>NOT SURE</c:v>
                </c:pt>
                <c:pt idx="2">
                  <c:v>VERY LIKELY</c:v>
                </c:pt>
              </c:strCache>
            </c:strRef>
          </c:cat>
          <c:val>
            <c:numRef>
              <c:f>'count recommend'!$F$5:$F$8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27D-4258-85C0-DCAEDD9C68E8}"/>
            </c:ext>
          </c:extLst>
        </c:ser>
        <c:ser>
          <c:idx val="5"/>
          <c:order val="5"/>
          <c:tx>
            <c:strRef>
              <c:f>'count recommend'!$G$3:$G$4</c:f>
              <c:strCache>
                <c:ptCount val="1"/>
                <c:pt idx="0">
                  <c:v>Cash;Apple Pay;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'count recommend'!$A$5:$A$8</c:f>
              <c:strCache>
                <c:ptCount val="3"/>
                <c:pt idx="0">
                  <c:v>NEVER</c:v>
                </c:pt>
                <c:pt idx="1">
                  <c:v>NOT SURE</c:v>
                </c:pt>
                <c:pt idx="2">
                  <c:v>VERY LIKELY</c:v>
                </c:pt>
              </c:strCache>
            </c:strRef>
          </c:cat>
          <c:val>
            <c:numRef>
              <c:f>'count recommend'!$G$5:$G$8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27D-4258-85C0-DCAEDD9C68E8}"/>
            </c:ext>
          </c:extLst>
        </c:ser>
        <c:ser>
          <c:idx val="6"/>
          <c:order val="6"/>
          <c:tx>
            <c:strRef>
              <c:f>'count recommend'!$H$3:$H$4</c:f>
              <c:strCache>
                <c:ptCount val="1"/>
                <c:pt idx="0">
                  <c:v>Credit Card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'count recommend'!$A$5:$A$8</c:f>
              <c:strCache>
                <c:ptCount val="3"/>
                <c:pt idx="0">
                  <c:v>NEVER</c:v>
                </c:pt>
                <c:pt idx="1">
                  <c:v>NOT SURE</c:v>
                </c:pt>
                <c:pt idx="2">
                  <c:v>VERY LIKELY</c:v>
                </c:pt>
              </c:strCache>
            </c:strRef>
          </c:cat>
          <c:val>
            <c:numRef>
              <c:f>'count recommend'!$H$5:$H$8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27D-4258-85C0-DCAEDD9C6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97799200"/>
        <c:axId val="1997816000"/>
      </c:barChart>
      <c:catAx>
        <c:axId val="199779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16000"/>
        <c:crosses val="autoZero"/>
        <c:auto val="1"/>
        <c:lblAlgn val="ctr"/>
        <c:lblOffset val="100"/>
        <c:noMultiLvlLbl val="0"/>
      </c:catAx>
      <c:valAx>
        <c:axId val="199781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9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[Ex5B_Resturantcustomersurveyresults.xlsx]count recommend!PivotTable2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Staff quality rating chart	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'count recommend'!$K$10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D3-46C1-930D-57EE6E99816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CD3-46C1-930D-57EE6E99816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CD3-46C1-930D-57EE6E9981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'count recommend'!$J$11:$J$14</c:f>
              <c:strCach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strCache>
            </c:strRef>
          </c:cat>
          <c:val>
            <c:numRef>
              <c:f>'count recommend'!$K$11:$K$14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3-46C1-930D-57EE6E99816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8</xdr:row>
      <xdr:rowOff>163830</xdr:rowOff>
    </xdr:from>
    <xdr:to>
      <xdr:col>6</xdr:col>
      <xdr:colOff>480060</xdr:colOff>
      <xdr:row>23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F6CD8-5407-8E49-C3F3-A74ADDAF0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830580</xdr:colOff>
      <xdr:row>14</xdr:row>
      <xdr:rowOff>133350</xdr:rowOff>
    </xdr:from>
    <xdr:to>
      <xdr:col>10</xdr:col>
      <xdr:colOff>2087880</xdr:colOff>
      <xdr:row>31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AC818C-ECBD-7624-4957-1D2330A92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Ocelot" refreshedDate="46120.876939583337" createdVersion="8" refreshedVersion="8" minRefreshableVersion="3" recordCount="10" xr:uid="{A10619BC-0C27-4C1F-9CAE-C2DE74E47F09}">
  <cacheSource type="worksheet">
    <worksheetSource name="OfficeForms.Table"/>
  </cacheSource>
  <cacheFields count="15">
    <cacheField name="Id" numFmtId="0">
      <sharedItems containsSemiMixedTypes="0" containsString="0" containsNumber="1" containsInteger="1" minValue="1" maxValue="10"/>
    </cacheField>
    <cacheField name="Start time" numFmtId="164">
      <sharedItems containsSemiMixedTypes="0" containsNonDate="0" containsDate="1" containsString="0" minDate="2026-04-06T22:44:18" maxDate="2026-04-08T18:05:12"/>
    </cacheField>
    <cacheField name="Completion time" numFmtId="164">
      <sharedItems containsSemiMixedTypes="0" containsNonDate="0" containsDate="1" containsString="0" minDate="2026-04-06T22:44:40" maxDate="2026-04-08T18:06:29"/>
    </cacheField>
    <cacheField name="Time to Complete" numFmtId="45">
      <sharedItems containsSemiMixedTypes="0" containsNonDate="0" containsDate="1" containsString="0" minDate="1899-12-30T00:00:22" maxDate="1899-12-30T00:03:46"/>
    </cacheField>
    <cacheField name="Email" numFmtId="0">
      <sharedItems/>
    </cacheField>
    <cacheField name="Name" numFmtId="0">
      <sharedItems containsBlank="1"/>
    </cacheField>
    <cacheField name="First name." numFmtId="0">
      <sharedItems containsBlank="1"/>
    </cacheField>
    <cacheField name="Quality of food? 1-bad 5- great" numFmtId="0">
      <sharedItems containsSemiMixedTypes="0" containsString="0" containsNumber="1" containsInteger="1" minValue="1" maxValue="5"/>
    </cacheField>
    <cacheField name="Staff Quality? 1-bad, 5-Great" numFmtId="0">
      <sharedItems containsSemiMixedTypes="0" containsString="0" containsNumber="1" containsInteger="1" minValue="1" maxValue="5" count="3">
        <n v="5"/>
        <n v="1"/>
        <n v="3"/>
      </sharedItems>
    </cacheField>
    <cacheField name="Would you recommend us to a family or friend?" numFmtId="0">
      <sharedItems count="3">
        <s v="NOT SURE"/>
        <s v="NEVER"/>
        <s v="VERY LIKELY"/>
      </sharedItems>
    </cacheField>
    <cacheField name="Do you come in weekly, monthly or every other month?" numFmtId="0">
      <sharedItems/>
    </cacheField>
    <cacheField name="How do you Pay?" numFmtId="0">
      <sharedItems count="8">
        <s v="Apple Pay;Credit Card;"/>
        <s v="Apple Pay;"/>
        <s v="Cash;Apple Pay;"/>
        <s v="Cash;"/>
        <s v="Apple Pay;Cash;"/>
        <s v="Credit Card"/>
        <s v="Apple Pay;Cash"/>
        <s v="Apple Pay"/>
      </sharedItems>
    </cacheField>
    <cacheField name="Preference in gaining rewards?" numFmtId="0">
      <sharedItems/>
    </cacheField>
    <cacheField name="Do you prefer rewards on your phone or gift card?" numFmtId="0">
      <sharedItems containsBlank="1"/>
    </cacheField>
    <cacheField name="Would implementing rewards to your every day visit to Mario pizza, would you recommend us to a family or friends?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d v="2026-04-06T22:44:18"/>
    <d v="2026-04-06T22:44:40"/>
    <d v="1899-12-30T00:00:22"/>
    <s v="locelotllopez@my.yearupunited.org"/>
    <s v="luis ocelotllopez"/>
    <m/>
    <n v="5"/>
    <x v="0"/>
    <x v="0"/>
    <s v="Weekly"/>
    <x v="0"/>
    <s v="Per item bought"/>
    <m/>
    <n v="9"/>
  </r>
  <r>
    <n v="2"/>
    <d v="2026-04-07T14:35:44"/>
    <d v="2026-04-07T14:36:32"/>
    <d v="1899-12-30T00:00:48"/>
    <s v="anonymous"/>
    <m/>
    <s v="John pizza"/>
    <n v="1"/>
    <x v="1"/>
    <x v="1"/>
    <s v="Every other month"/>
    <x v="1"/>
    <s v="Per item bought"/>
    <s v="Phone;Gift card;"/>
    <n v="0"/>
  </r>
  <r>
    <n v="3"/>
    <d v="2026-04-07T14:45:40"/>
    <d v="2026-04-07T14:46:40"/>
    <d v="1899-12-30T00:01:00"/>
    <s v="anonymous"/>
    <m/>
    <s v="girt"/>
    <n v="1"/>
    <x v="1"/>
    <x v="1"/>
    <s v="Every other month"/>
    <x v="2"/>
    <s v="Per item bought"/>
    <s v="Phone;Gift card;"/>
    <n v="0"/>
  </r>
  <r>
    <n v="4"/>
    <d v="2026-04-07T16:02:18"/>
    <d v="2026-04-07T16:04:04"/>
    <d v="1899-12-30T00:01:46"/>
    <s v="anonymous"/>
    <m/>
    <s v="Alexus"/>
    <n v="4"/>
    <x v="2"/>
    <x v="0"/>
    <s v="Weekly"/>
    <x v="3"/>
    <s v="Per visit"/>
    <s v="Gift card;Phone;"/>
    <n v="5"/>
  </r>
  <r>
    <n v="5"/>
    <d v="2026-04-08T09:54:36"/>
    <d v="2026-04-08T09:55:19"/>
    <d v="1899-12-30T00:00:43"/>
    <s v="anonymous"/>
    <m/>
    <s v="Charles"/>
    <n v="5"/>
    <x v="0"/>
    <x v="2"/>
    <s v="Monthly"/>
    <x v="1"/>
    <s v="Per item bought"/>
    <m/>
    <n v="10"/>
  </r>
  <r>
    <n v="6"/>
    <d v="2026-04-08T11:15:25"/>
    <d v="2026-04-08T11:16:51"/>
    <d v="1899-12-30T00:01:26"/>
    <s v="anonymous"/>
    <m/>
    <s v="luis"/>
    <n v="5"/>
    <x v="0"/>
    <x v="2"/>
    <s v="Every other month"/>
    <x v="4"/>
    <s v="Per item bought"/>
    <m/>
    <n v="10"/>
  </r>
  <r>
    <n v="7"/>
    <d v="2026-04-08T13:28:09"/>
    <d v="2026-04-08T13:29:12"/>
    <d v="1899-12-30T00:01:03"/>
    <s v="anonymous"/>
    <m/>
    <s v="Bess"/>
    <n v="5"/>
    <x v="0"/>
    <x v="2"/>
    <s v="Monthly"/>
    <x v="5"/>
    <s v="Per visit"/>
    <m/>
    <n v="9"/>
  </r>
  <r>
    <n v="8"/>
    <d v="2026-04-08T13:41:54"/>
    <d v="2026-04-08T13:42:38"/>
    <d v="1899-12-30T00:00:44"/>
    <s v="anonymous"/>
    <m/>
    <s v="Smaya "/>
    <n v="5"/>
    <x v="0"/>
    <x v="2"/>
    <s v="Weekly"/>
    <x v="6"/>
    <s v="Per item bought"/>
    <s v="Phone;Gift card"/>
    <n v="9"/>
  </r>
  <r>
    <n v="9"/>
    <d v="2026-04-08T14:32:41"/>
    <d v="2026-04-08T14:36:27"/>
    <d v="1899-12-30T00:03:46"/>
    <s v="anonymous"/>
    <m/>
    <s v="Tihitina"/>
    <n v="4"/>
    <x v="0"/>
    <x v="2"/>
    <s v="Weekly"/>
    <x v="7"/>
    <s v="Per item bought"/>
    <m/>
    <n v="10"/>
  </r>
  <r>
    <n v="10"/>
    <d v="2026-04-08T18:05:12"/>
    <d v="2026-04-08T18:06:29"/>
    <d v="1899-12-30T00:01:17"/>
    <s v="anonymous"/>
    <m/>
    <s v="Sonia "/>
    <n v="5"/>
    <x v="0"/>
    <x v="2"/>
    <s v="Weekly"/>
    <x v="5"/>
    <s v="Per item bought"/>
    <m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3FF99-E1F9-468C-A1AF-636BBE26DE9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J10:K14" firstHeaderRow="1" firstDataRow="1" firstDataCol="1"/>
  <pivotFields count="15">
    <pivotField showAll="0"/>
    <pivotField numFmtId="164" showAll="0"/>
    <pivotField numFmtId="164" showAll="0"/>
    <pivotField numFmtId="45"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aff Quality? 1-bad, 5-Great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C7A73-F288-4CB4-B59D-EA9F9B13971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I8" firstHeaderRow="1" firstDataRow="2" firstDataCol="1"/>
  <pivotFields count="15">
    <pivotField showAll="0"/>
    <pivotField numFmtId="164" showAll="0"/>
    <pivotField numFmtId="164" showAll="0"/>
    <pivotField numFmtId="45"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axis="axisCol" showAll="0">
      <items count="9">
        <item x="7"/>
        <item h="1" x="1"/>
        <item x="6"/>
        <item x="4"/>
        <item x="0"/>
        <item x="3"/>
        <item x="2"/>
        <item x="5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1"/>
  </colFields>
  <col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Would you recommend us to a family or friend?" fld="9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12" totalsRowCount="1">
  <autoFilter ref="A1:O11" xr:uid="{00000000-0009-0000-0100-000001000000}"/>
  <tableColumns count="15">
    <tableColumn id="1" xr3:uid="{00000000-0010-0000-0000-000001000000}" name="Id" dataDxfId="2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4" totalsRowDxfId="10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3" totalsRowDxfId="9">
      <extLst>
        <ext xmlns:xlmsforms="http://schemas.microsoft.com/office/spreadsheetml/2023/msForms" uri="{FCC71383-01E1-4257-9335-427F07BE8D7F}">
          <xlmsforms:question id="submitDate"/>
        </ext>
      </extLst>
    </tableColumn>
    <tableColumn id="15" xr3:uid="{6B54B6E7-A4E6-49DA-818D-0CAE7F435F26}" name="Time to Complete" totalsRowFunction="custom" dataDxfId="22" totalsRowDxfId="8">
      <calculatedColumnFormula>C2-B2</calculatedColumnFormula>
      <totalsRowFormula>AVERAGE(D2:D11)</totalsRowFormula>
    </tableColumn>
    <tableColumn id="4" xr3:uid="{00000000-0010-0000-0000-000004000000}" name="Email" dataDxfId="21" totalsRow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0" totalsRow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irst name." dataDxfId="19" totalsRowDxfId="5">
      <extLst>
        <ext xmlns:xlmsforms="http://schemas.microsoft.com/office/spreadsheetml/2023/msForms" uri="{FCC71383-01E1-4257-9335-427F07BE8D7F}">
          <xlmsforms:question id="rdf80a9f0298d453c865f40badb78c0cc"/>
        </ext>
      </extLst>
    </tableColumn>
    <tableColumn id="7" xr3:uid="{00000000-0010-0000-0000-000007000000}" name="Quality of food? 1-bad 5- great" totalsRowFunction="custom" dataDxfId="18">
      <totalsRowFormula>AVERAGE(H2:H11)</totalsRowFormula>
      <extLst>
        <ext xmlns:xlmsforms="http://schemas.microsoft.com/office/spreadsheetml/2023/msForms" uri="{FCC71383-01E1-4257-9335-427F07BE8D7F}">
          <xlmsforms:question id="r93b6a241f18840eaa47ebe7d61f6fd66"/>
        </ext>
      </extLst>
    </tableColumn>
    <tableColumn id="8" xr3:uid="{00000000-0010-0000-0000-000008000000}" name="Staff Quality? 1-bad, 5-Great" totalsRowFunction="custom" dataDxfId="17">
      <totalsRowFormula>AVERAGE(I2:I11)</totalsRowFormula>
      <extLst>
        <ext xmlns:xlmsforms="http://schemas.microsoft.com/office/spreadsheetml/2023/msForms" uri="{FCC71383-01E1-4257-9335-427F07BE8D7F}">
          <xlmsforms:question id="r4730e5dae07d49a998bf6ef5ad56aac2"/>
        </ext>
      </extLst>
    </tableColumn>
    <tableColumn id="9" xr3:uid="{00000000-0010-0000-0000-000009000000}" name="Would you recommend us to a family or friend?" dataDxfId="16" totalsRowDxfId="4">
      <extLst>
        <ext xmlns:xlmsforms="http://schemas.microsoft.com/office/spreadsheetml/2023/msForms" uri="{FCC71383-01E1-4257-9335-427F07BE8D7F}">
          <xlmsforms:question id="r81c8ae23a64b478c92d92167def60473"/>
        </ext>
      </extLst>
    </tableColumn>
    <tableColumn id="10" xr3:uid="{00000000-0010-0000-0000-00000A000000}" name="Do you come in weekly, monthly or every other month?" totalsRowFunction="custom" dataDxfId="15" totalsRowDxfId="3">
      <totalsRowFormula>SUM(COUNTIF(OfficeForms.Table[Do you come in weekly, monthly or every other month?],"Monthly"), COUNTIF(OfficeForms.Table[Do you come in weekly, monthly or every other month?],"Every other month"))</totalsRowFormula>
      <extLst>
        <ext xmlns:xlmsforms="http://schemas.microsoft.com/office/spreadsheetml/2023/msForms" uri="{FCC71383-01E1-4257-9335-427F07BE8D7F}">
          <xlmsforms:question id="r81f8804d6f3941b2843562bf65ca00d9"/>
        </ext>
      </extLst>
    </tableColumn>
    <tableColumn id="11" xr3:uid="{00000000-0010-0000-0000-00000B000000}" name="How do you Pay?" dataDxfId="14" totalsRowDxfId="2">
      <extLst>
        <ext xmlns:xlmsforms="http://schemas.microsoft.com/office/spreadsheetml/2023/msForms" uri="{FCC71383-01E1-4257-9335-427F07BE8D7F}">
          <xlmsforms:question id="rd273d3bf75a34e40ab84283088d017ce"/>
        </ext>
      </extLst>
    </tableColumn>
    <tableColumn id="12" xr3:uid="{00000000-0010-0000-0000-00000C000000}" name="Preference in gaining rewards?" dataDxfId="13" totalsRowDxfId="1">
      <extLst>
        <ext xmlns:xlmsforms="http://schemas.microsoft.com/office/spreadsheetml/2023/msForms" uri="{FCC71383-01E1-4257-9335-427F07BE8D7F}">
          <xlmsforms:question id="r66dc58864481414d9218fbf69f732f5c"/>
        </ext>
      </extLst>
    </tableColumn>
    <tableColumn id="13" xr3:uid="{00000000-0010-0000-0000-00000D000000}" name="Do you prefer rewards on your phone or gift card?" dataDxfId="12" totalsRowDxfId="0">
      <extLst>
        <ext xmlns:xlmsforms="http://schemas.microsoft.com/office/spreadsheetml/2023/msForms" uri="{FCC71383-01E1-4257-9335-427F07BE8D7F}">
          <xlmsforms:question id="r430b2e78e5764e4f9e9fd56c0b1ca763"/>
        </ext>
      </extLst>
    </tableColumn>
    <tableColumn id="14" xr3:uid="{00000000-0010-0000-0000-00000E000000}" name="Would implementing rewards to your every day visit to Mario pizza, would you recommend us to a family or friends?" totalsRowFunction="custom" dataDxfId="11">
      <totalsRowFormula>AVERAGE(O2:O11)</totalsRowFormula>
      <extLst>
        <ext xmlns:xlmsforms="http://schemas.microsoft.com/office/spreadsheetml/2023/msForms" uri="{FCC71383-01E1-4257-9335-427F07BE8D7F}">
          <xlmsforms:question id="r728b2ed2157f417f862f5766a3c2ae6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-zud5NB_RNNvwB0pSZWm8JUQjJWTzBMQVZCRDhQSEFRODZSRElWMjdUQi4u" isFormConnected="1" maxResponseId="10" latestEventMarker="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rdf80a9f0298d453c865f40badb78c0cc</xlmsforms:syncedQuestionId>
        <xlmsforms:syncedQuestionId>r93b6a241f18840eaa47ebe7d61f6fd66</xlmsforms:syncedQuestionId>
        <xlmsforms:syncedQuestionId>r4730e5dae07d49a998bf6ef5ad56aac2</xlmsforms:syncedQuestionId>
        <xlmsforms:syncedQuestionId>r81c8ae23a64b478c92d92167def60473</xlmsforms:syncedQuestionId>
        <xlmsforms:syncedQuestionId>r81f8804d6f3941b2843562bf65ca00d9</xlmsforms:syncedQuestionId>
        <xlmsforms:syncedQuestionId>rd273d3bf75a34e40ab84283088d017ce</xlmsforms:syncedQuestionId>
        <xlmsforms:syncedQuestionId>r66dc58864481414d9218fbf69f732f5c</xlmsforms:syncedQuestionId>
        <xlmsforms:syncedQuestionId>r430b2e78e5764e4f9e9fd56c0b1ca763</xlmsforms:syncedQuestionId>
        <xlmsforms:syncedQuestionId>r728b2ed2157f417f862f5766a3c2ae6d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30C2-5233-4C1A-8F34-1BB676414222}">
  <dimension ref="A3:K14"/>
  <sheetViews>
    <sheetView tabSelected="1" topLeftCell="A7" workbookViewId="0">
      <selection activeCell="H13" sqref="H13"/>
    </sheetView>
  </sheetViews>
  <sheetFormatPr defaultRowHeight="14.4" x14ac:dyDescent="0.3"/>
  <cols>
    <col min="1" max="1" width="49.88671875" bestFit="1" customWidth="1"/>
    <col min="2" max="2" width="15.5546875" bestFit="1" customWidth="1"/>
    <col min="3" max="3" width="14.109375" bestFit="1" customWidth="1"/>
    <col min="4" max="4" width="14.6640625" bestFit="1" customWidth="1"/>
    <col min="5" max="5" width="20.109375" bestFit="1" customWidth="1"/>
    <col min="6" max="6" width="5.5546875" bestFit="1" customWidth="1"/>
    <col min="7" max="7" width="14.6640625" bestFit="1" customWidth="1"/>
    <col min="8" max="8" width="10.33203125" bestFit="1" customWidth="1"/>
    <col min="9" max="9" width="10.77734375" bestFit="1" customWidth="1"/>
    <col min="10" max="10" width="12.5546875" bestFit="1" customWidth="1"/>
    <col min="11" max="11" width="31.88671875" bestFit="1" customWidth="1"/>
  </cols>
  <sheetData>
    <row r="3" spans="1:11" x14ac:dyDescent="0.3">
      <c r="A3" s="8" t="s">
        <v>48</v>
      </c>
      <c r="B3" s="8" t="s">
        <v>49</v>
      </c>
    </row>
    <row r="4" spans="1:11" x14ac:dyDescent="0.3">
      <c r="A4" s="8" t="s">
        <v>46</v>
      </c>
      <c r="B4" t="s">
        <v>42</v>
      </c>
      <c r="C4" t="s">
        <v>39</v>
      </c>
      <c r="D4" t="s">
        <v>35</v>
      </c>
      <c r="E4" t="s">
        <v>17</v>
      </c>
      <c r="F4" t="s">
        <v>28</v>
      </c>
      <c r="G4" t="s">
        <v>26</v>
      </c>
      <c r="H4" t="s">
        <v>37</v>
      </c>
      <c r="I4" t="s">
        <v>47</v>
      </c>
    </row>
    <row r="5" spans="1:11" x14ac:dyDescent="0.3">
      <c r="A5" s="9" t="s">
        <v>21</v>
      </c>
      <c r="B5" s="6"/>
      <c r="C5" s="6"/>
      <c r="D5" s="6"/>
      <c r="E5" s="6"/>
      <c r="F5" s="6"/>
      <c r="G5" s="6">
        <v>1</v>
      </c>
      <c r="H5" s="6"/>
      <c r="I5" s="6">
        <v>1</v>
      </c>
    </row>
    <row r="6" spans="1:11" x14ac:dyDescent="0.3">
      <c r="A6" s="9" t="s">
        <v>15</v>
      </c>
      <c r="B6" s="6"/>
      <c r="C6" s="6"/>
      <c r="D6" s="6"/>
      <c r="E6" s="6">
        <v>1</v>
      </c>
      <c r="F6" s="6">
        <v>1</v>
      </c>
      <c r="G6" s="6"/>
      <c r="H6" s="6"/>
      <c r="I6" s="6">
        <v>2</v>
      </c>
    </row>
    <row r="7" spans="1:11" x14ac:dyDescent="0.3">
      <c r="A7" s="9" t="s">
        <v>32</v>
      </c>
      <c r="B7" s="6">
        <v>1</v>
      </c>
      <c r="C7" s="6">
        <v>1</v>
      </c>
      <c r="D7" s="6">
        <v>1</v>
      </c>
      <c r="E7" s="6"/>
      <c r="F7" s="6"/>
      <c r="G7" s="6"/>
      <c r="H7" s="6">
        <v>2</v>
      </c>
      <c r="I7" s="6">
        <v>5</v>
      </c>
    </row>
    <row r="8" spans="1:11" x14ac:dyDescent="0.3">
      <c r="A8" s="9" t="s">
        <v>47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2</v>
      </c>
      <c r="I8" s="6">
        <v>8</v>
      </c>
    </row>
    <row r="10" spans="1:11" x14ac:dyDescent="0.3">
      <c r="J10" s="8" t="s">
        <v>46</v>
      </c>
      <c r="K10" t="s">
        <v>50</v>
      </c>
    </row>
    <row r="11" spans="1:11" x14ac:dyDescent="0.3">
      <c r="J11" s="9">
        <v>1</v>
      </c>
      <c r="K11" s="6">
        <v>2</v>
      </c>
    </row>
    <row r="12" spans="1:11" x14ac:dyDescent="0.3">
      <c r="J12" s="9">
        <v>3</v>
      </c>
      <c r="K12" s="6">
        <v>3</v>
      </c>
    </row>
    <row r="13" spans="1:11" x14ac:dyDescent="0.3">
      <c r="J13" s="9">
        <v>5</v>
      </c>
      <c r="K13" s="6">
        <v>35</v>
      </c>
    </row>
    <row r="14" spans="1:11" x14ac:dyDescent="0.3">
      <c r="J14" s="9" t="s">
        <v>47</v>
      </c>
      <c r="K14" s="6">
        <v>40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workbookViewId="0">
      <selection activeCell="D7" sqref="D7"/>
    </sheetView>
  </sheetViews>
  <sheetFormatPr defaultRowHeight="14.4" x14ac:dyDescent="0.3"/>
  <cols>
    <col min="1" max="1" width="20" bestFit="1" customWidth="1"/>
    <col min="2" max="2" width="20" style="1" bestFit="1" customWidth="1"/>
    <col min="3" max="3" width="20" bestFit="1" customWidth="1"/>
    <col min="4" max="4" width="20" style="4" customWidth="1"/>
    <col min="5" max="15" width="20" bestFit="1" customWidth="1"/>
  </cols>
  <sheetData>
    <row r="1" spans="1:15" x14ac:dyDescent="0.3">
      <c r="A1" t="s">
        <v>0</v>
      </c>
      <c r="B1" s="1" t="s">
        <v>1</v>
      </c>
      <c r="C1" t="s">
        <v>2</v>
      </c>
      <c r="D1" s="4" t="s">
        <v>44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45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1</v>
      </c>
      <c r="B2" s="3">
        <v>46118.947430555556</v>
      </c>
      <c r="C2" s="3">
        <v>46118.947685185187</v>
      </c>
      <c r="D2" s="4">
        <f t="shared" ref="D2:D11" si="0">C2-B2</f>
        <v>2.546296309446916E-4</v>
      </c>
      <c r="E2" t="s">
        <v>13</v>
      </c>
      <c r="F2" t="s">
        <v>14</v>
      </c>
      <c r="H2">
        <v>5</v>
      </c>
      <c r="I2">
        <v>5</v>
      </c>
      <c r="J2" t="s">
        <v>15</v>
      </c>
      <c r="K2" t="s">
        <v>16</v>
      </c>
      <c r="L2" t="s">
        <v>17</v>
      </c>
      <c r="M2" t="s">
        <v>18</v>
      </c>
      <c r="O2">
        <v>9</v>
      </c>
    </row>
    <row r="3" spans="1:15" x14ac:dyDescent="0.3">
      <c r="A3">
        <v>2</v>
      </c>
      <c r="B3" s="3">
        <v>46119.608148148145</v>
      </c>
      <c r="C3" s="3">
        <v>46119.608703703707</v>
      </c>
      <c r="D3" s="4">
        <f t="shared" si="0"/>
        <v>5.5555556173203513E-4</v>
      </c>
      <c r="E3" t="s">
        <v>19</v>
      </c>
      <c r="G3" t="s">
        <v>20</v>
      </c>
      <c r="H3">
        <v>1</v>
      </c>
      <c r="I3">
        <v>1</v>
      </c>
      <c r="J3" t="s">
        <v>21</v>
      </c>
      <c r="K3" t="s">
        <v>22</v>
      </c>
      <c r="L3" t="s">
        <v>23</v>
      </c>
      <c r="M3" t="s">
        <v>18</v>
      </c>
      <c r="N3" t="s">
        <v>24</v>
      </c>
      <c r="O3">
        <v>0</v>
      </c>
    </row>
    <row r="4" spans="1:15" x14ac:dyDescent="0.3">
      <c r="A4">
        <v>3</v>
      </c>
      <c r="B4" s="3">
        <v>46119.615046296298</v>
      </c>
      <c r="C4" s="3">
        <v>46119.615740740737</v>
      </c>
      <c r="D4" s="4">
        <f t="shared" si="0"/>
        <v>6.9444443943211809E-4</v>
      </c>
      <c r="E4" t="s">
        <v>19</v>
      </c>
      <c r="G4" t="s">
        <v>25</v>
      </c>
      <c r="H4">
        <v>1</v>
      </c>
      <c r="I4">
        <v>1</v>
      </c>
      <c r="J4" t="s">
        <v>21</v>
      </c>
      <c r="K4" t="s">
        <v>22</v>
      </c>
      <c r="L4" t="s">
        <v>26</v>
      </c>
      <c r="M4" t="s">
        <v>18</v>
      </c>
      <c r="N4" t="s">
        <v>24</v>
      </c>
      <c r="O4">
        <v>0</v>
      </c>
    </row>
    <row r="5" spans="1:15" x14ac:dyDescent="0.3">
      <c r="A5">
        <v>4</v>
      </c>
      <c r="B5" s="3">
        <v>46119.668263888889</v>
      </c>
      <c r="C5" s="3">
        <v>46119.669490740744</v>
      </c>
      <c r="D5" s="4">
        <f t="shared" si="0"/>
        <v>1.2268518548808061E-3</v>
      </c>
      <c r="E5" t="s">
        <v>19</v>
      </c>
      <c r="G5" t="s">
        <v>27</v>
      </c>
      <c r="H5">
        <v>4</v>
      </c>
      <c r="I5">
        <v>3</v>
      </c>
      <c r="J5" t="s">
        <v>15</v>
      </c>
      <c r="K5" t="s">
        <v>16</v>
      </c>
      <c r="L5" t="s">
        <v>28</v>
      </c>
      <c r="M5" t="s">
        <v>29</v>
      </c>
      <c r="N5" t="s">
        <v>30</v>
      </c>
      <c r="O5">
        <v>5</v>
      </c>
    </row>
    <row r="6" spans="1:15" x14ac:dyDescent="0.3">
      <c r="A6">
        <v>5</v>
      </c>
      <c r="B6" s="3">
        <v>46120.412916666668</v>
      </c>
      <c r="C6" s="3">
        <v>46120.413414351853</v>
      </c>
      <c r="D6" s="4">
        <f t="shared" si="0"/>
        <v>4.9768518510973081E-4</v>
      </c>
      <c r="E6" t="s">
        <v>19</v>
      </c>
      <c r="G6" t="s">
        <v>31</v>
      </c>
      <c r="H6">
        <v>5</v>
      </c>
      <c r="I6">
        <v>5</v>
      </c>
      <c r="J6" t="s">
        <v>32</v>
      </c>
      <c r="K6" t="s">
        <v>33</v>
      </c>
      <c r="L6" t="s">
        <v>23</v>
      </c>
      <c r="M6" t="s">
        <v>18</v>
      </c>
      <c r="O6">
        <v>10</v>
      </c>
    </row>
    <row r="7" spans="1:15" x14ac:dyDescent="0.3">
      <c r="A7">
        <v>6</v>
      </c>
      <c r="B7" s="3">
        <v>46120.469039351854</v>
      </c>
      <c r="C7" s="3">
        <v>46120.470034722224</v>
      </c>
      <c r="D7" s="4">
        <f t="shared" si="0"/>
        <v>9.9537037021946162E-4</v>
      </c>
      <c r="E7" t="s">
        <v>19</v>
      </c>
      <c r="G7" t="s">
        <v>34</v>
      </c>
      <c r="H7">
        <v>5</v>
      </c>
      <c r="I7">
        <v>5</v>
      </c>
      <c r="J7" t="s">
        <v>32</v>
      </c>
      <c r="K7" t="s">
        <v>22</v>
      </c>
      <c r="L7" t="s">
        <v>35</v>
      </c>
      <c r="M7" t="s">
        <v>18</v>
      </c>
      <c r="O7">
        <v>10</v>
      </c>
    </row>
    <row r="8" spans="1:15" x14ac:dyDescent="0.3">
      <c r="A8">
        <v>7</v>
      </c>
      <c r="B8" s="3">
        <v>46120.561215277798</v>
      </c>
      <c r="C8" s="3">
        <v>46120.561944444402</v>
      </c>
      <c r="D8" s="4">
        <f t="shared" si="0"/>
        <v>7.2916660428745672E-4</v>
      </c>
      <c r="E8" s="2" t="s">
        <v>19</v>
      </c>
      <c r="F8" s="2"/>
      <c r="G8" s="2" t="s">
        <v>36</v>
      </c>
      <c r="H8">
        <v>5</v>
      </c>
      <c r="I8">
        <v>5</v>
      </c>
      <c r="J8" s="2" t="s">
        <v>32</v>
      </c>
      <c r="K8" s="2" t="s">
        <v>33</v>
      </c>
      <c r="L8" s="2" t="s">
        <v>37</v>
      </c>
      <c r="M8" s="2" t="s">
        <v>29</v>
      </c>
      <c r="N8" s="2"/>
      <c r="O8">
        <v>9</v>
      </c>
    </row>
    <row r="9" spans="1:15" x14ac:dyDescent="0.3">
      <c r="A9">
        <v>8</v>
      </c>
      <c r="B9" s="3">
        <v>46120.5707638889</v>
      </c>
      <c r="C9" s="3">
        <v>46120.571273148104</v>
      </c>
      <c r="D9" s="4">
        <f t="shared" si="0"/>
        <v>5.0925920368172228E-4</v>
      </c>
      <c r="E9" s="2" t="s">
        <v>19</v>
      </c>
      <c r="F9" s="2"/>
      <c r="G9" s="2" t="s">
        <v>38</v>
      </c>
      <c r="H9">
        <v>5</v>
      </c>
      <c r="I9">
        <v>5</v>
      </c>
      <c r="J9" s="2" t="s">
        <v>32</v>
      </c>
      <c r="K9" s="2" t="s">
        <v>16</v>
      </c>
      <c r="L9" s="2" t="s">
        <v>39</v>
      </c>
      <c r="M9" s="2" t="s">
        <v>18</v>
      </c>
      <c r="N9" s="2" t="s">
        <v>40</v>
      </c>
      <c r="O9">
        <v>9</v>
      </c>
    </row>
    <row r="10" spans="1:15" x14ac:dyDescent="0.3">
      <c r="A10">
        <v>9</v>
      </c>
      <c r="B10" s="3">
        <v>46120.606030092596</v>
      </c>
      <c r="C10" s="3">
        <v>46120.608645833301</v>
      </c>
      <c r="D10" s="4">
        <f t="shared" si="0"/>
        <v>2.6157407046412118E-3</v>
      </c>
      <c r="E10" s="2" t="s">
        <v>19</v>
      </c>
      <c r="F10" s="2"/>
      <c r="G10" s="2" t="s">
        <v>41</v>
      </c>
      <c r="H10">
        <v>4</v>
      </c>
      <c r="I10">
        <v>5</v>
      </c>
      <c r="J10" s="2" t="s">
        <v>32</v>
      </c>
      <c r="K10" s="2" t="s">
        <v>16</v>
      </c>
      <c r="L10" s="2" t="s">
        <v>42</v>
      </c>
      <c r="M10" s="2" t="s">
        <v>18</v>
      </c>
      <c r="N10" s="2"/>
      <c r="O10">
        <v>10</v>
      </c>
    </row>
    <row r="11" spans="1:15" x14ac:dyDescent="0.3">
      <c r="A11">
        <v>10</v>
      </c>
      <c r="B11" s="3">
        <v>46120.753611111097</v>
      </c>
      <c r="C11" s="3">
        <v>46120.754502314798</v>
      </c>
      <c r="D11" s="4">
        <f t="shared" si="0"/>
        <v>8.9120370103046298E-4</v>
      </c>
      <c r="E11" s="2" t="s">
        <v>19</v>
      </c>
      <c r="F11" s="2"/>
      <c r="G11" s="2" t="s">
        <v>43</v>
      </c>
      <c r="H11">
        <v>5</v>
      </c>
      <c r="I11">
        <v>5</v>
      </c>
      <c r="J11" s="2" t="s">
        <v>32</v>
      </c>
      <c r="K11" s="2" t="s">
        <v>16</v>
      </c>
      <c r="L11" s="2" t="s">
        <v>37</v>
      </c>
      <c r="M11" s="2" t="s">
        <v>18</v>
      </c>
      <c r="N11" s="2"/>
      <c r="O11">
        <v>10</v>
      </c>
    </row>
    <row r="12" spans="1:15" x14ac:dyDescent="0.3">
      <c r="B12" s="3"/>
      <c r="C12" s="3"/>
      <c r="D12" s="4">
        <f>AVERAGE(D2:D11)</f>
        <v>8.9699072559596966E-4</v>
      </c>
      <c r="E12" s="2"/>
      <c r="F12" s="2"/>
      <c r="G12" s="2"/>
      <c r="H12">
        <f>AVERAGE(H2:H11)</f>
        <v>4</v>
      </c>
      <c r="I12">
        <f>AVERAGE(I2:I11)</f>
        <v>4</v>
      </c>
      <c r="J12" s="5"/>
      <c r="K12" s="7">
        <f>SUM(COUNTIF(OfficeForms.Table[Do you come in weekly, monthly or every other month?],"Monthly"), COUNTIF(OfficeForms.Table[Do you come in weekly, monthly or every other month?],"Every other month"))</f>
        <v>5</v>
      </c>
      <c r="L12" s="2"/>
      <c r="M12" s="6"/>
      <c r="N12" s="2"/>
      <c r="O12">
        <f>AVERAGE(O2:O11)</f>
        <v>7.2</v>
      </c>
    </row>
    <row r="13" spans="1:15" x14ac:dyDescent="0.3">
      <c r="K13" cm="1">
        <f t="array" ref="K13">AVERAGE(
_xlfn.SWITCH(OfficeForms.Table[Do you come in weekly, monthly or every other month?],
"Weekly",3,
"Monthly",2,
"Every other month",1
)
)</f>
        <v>2.2000000000000002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recommend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Ocelot</dc:creator>
  <cp:keywords/>
  <dc:description/>
  <cp:lastModifiedBy>luis ocelotllopez</cp:lastModifiedBy>
  <cp:revision/>
  <dcterms:created xsi:type="dcterms:W3CDTF">2026-04-08T16:26:35Z</dcterms:created>
  <dcterms:modified xsi:type="dcterms:W3CDTF">2026-04-09T01:30:08Z</dcterms:modified>
  <cp:category/>
  <cp:contentStatus/>
</cp:coreProperties>
</file>